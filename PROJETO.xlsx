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so\Downloads\projetos github\"/>
    </mc:Choice>
  </mc:AlternateContent>
  <xr:revisionPtr revIDLastSave="0" documentId="8_{A95AC13F-6BD4-4808-958A-69AF5B8A0541}" xr6:coauthVersionLast="47" xr6:coauthVersionMax="47" xr10:uidLastSave="{00000000-0000-0000-0000-000000000000}"/>
  <bookViews>
    <workbookView xWindow="-120" yWindow="-120" windowWidth="20730" windowHeight="11160" activeTab="2" xr2:uid="{8DAAE296-FD5D-47BE-B2E3-B75F3DDD1E75}"/>
  </bookViews>
  <sheets>
    <sheet name="BD_Lancamentos" sheetId="1" r:id="rId1"/>
    <sheet name="DRE_Resumo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B3" i="2"/>
  <c r="B4" i="2"/>
  <c r="B5" i="2"/>
  <c r="B6" i="2"/>
  <c r="B2" i="2"/>
  <c r="C2" i="2"/>
  <c r="H2" i="1"/>
  <c r="H3" i="1"/>
  <c r="H4" i="1"/>
  <c r="H5" i="1"/>
  <c r="H6" i="1"/>
</calcChain>
</file>

<file path=xl/sharedStrings.xml><?xml version="1.0" encoding="utf-8"?>
<sst xmlns="http://schemas.openxmlformats.org/spreadsheetml/2006/main" count="36" uniqueCount="26">
  <si>
    <t>Data</t>
  </si>
  <si>
    <t>categoria</t>
  </si>
  <si>
    <t>Tipo</t>
  </si>
  <si>
    <t>Centro de Custo</t>
  </si>
  <si>
    <t>Valor Orçado</t>
  </si>
  <si>
    <t>Status</t>
  </si>
  <si>
    <t>Categoria</t>
  </si>
  <si>
    <t>Valor Realizado</t>
  </si>
  <si>
    <t>Vendas de Serviços</t>
  </si>
  <si>
    <t>Receita</t>
  </si>
  <si>
    <t>Comercial</t>
  </si>
  <si>
    <t>Confirmado</t>
  </si>
  <si>
    <t>Folha de Pagamento</t>
  </si>
  <si>
    <t>Despesa</t>
  </si>
  <si>
    <t>Operacional</t>
  </si>
  <si>
    <t>Pago</t>
  </si>
  <si>
    <t>Software e TI</t>
  </si>
  <si>
    <t>TI</t>
  </si>
  <si>
    <t>Campanha de Marketing</t>
  </si>
  <si>
    <t>Marketing</t>
  </si>
  <si>
    <t>Consultoria Prestada</t>
  </si>
  <si>
    <t>Desvio</t>
  </si>
  <si>
    <t>total realizado</t>
  </si>
  <si>
    <t>Total Orçado</t>
  </si>
  <si>
    <t>vendas de serviço</t>
  </si>
  <si>
    <t>folha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</si>
</sst>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14" fontId="2" fillId="0" borderId="3" xfId="0" applyNumberFormat="1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168" fontId="2" fillId="0" borderId="7" xfId="0" applyNumberFormat="1" applyFont="1" applyBorder="1" applyAlignment="1">
      <alignment horizontal="left" vertical="center" wrapText="1" indent="1"/>
    </xf>
    <xf numFmtId="168" fontId="1" fillId="0" borderId="1" xfId="0" applyNumberFormat="1" applyFont="1" applyBorder="1" applyAlignment="1">
      <alignment horizontal="left" vertical="center" wrapText="1" indent="1"/>
    </xf>
    <xf numFmtId="168" fontId="1" fillId="0" borderId="2" xfId="0" applyNumberFormat="1" applyFont="1" applyFill="1" applyBorder="1" applyAlignment="1">
      <alignment horizontal="left" vertical="center" wrapText="1" indent="1"/>
    </xf>
    <xf numFmtId="168" fontId="1" fillId="0" borderId="0" xfId="0" applyNumberFormat="1" applyFont="1" applyAlignment="1">
      <alignment horizontal="left" vertical="center" wrapText="1" indent="1"/>
    </xf>
    <xf numFmtId="0" fontId="0" fillId="0" borderId="0" xfId="0" quotePrefix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_-[$R$-416]\ * #,##0.00_-;\-[$R$-416]\ * #,##0.00_-;_-[$R$-416]\ * &quot;-&quot;??_-;_-@_-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_-[$R$-416]\ * #,##0.00_-;\-[$R$-416]\ * #,##0.00_-;_-[$R$-416]\ * &quot;-&quot;??_-;_-@_-"/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_-[$R$-416]\ * #,##0.00_-;\-[$R$-416]\ * #,##0.00_-;_-[$R$-416]\ * &quot;-&quot;??_-;_-@_-"/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DO RESUMO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DRE_Resumo!$B$1</c:f>
              <c:strCache>
                <c:ptCount val="1"/>
                <c:pt idx="0">
                  <c:v>total realizado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DRE_Resumo!$A$2:$A$6</c:f>
              <c:strCache>
                <c:ptCount val="5"/>
                <c:pt idx="0">
                  <c:v>vendas de serviço</c:v>
                </c:pt>
                <c:pt idx="1">
                  <c:v>folha de pagamento</c:v>
                </c:pt>
                <c:pt idx="2">
                  <c:v>Software e TI</c:v>
                </c:pt>
                <c:pt idx="3">
                  <c:v>Campanha de Marketing</c:v>
                </c:pt>
                <c:pt idx="4">
                  <c:v>Consultoria Prestada</c:v>
                </c:pt>
              </c:strCache>
            </c:strRef>
          </c:cat>
          <c:val>
            <c:numRef>
              <c:f>DRE_Resumo!$B$2:$B$6</c:f>
              <c:numCache>
                <c:formatCode>General</c:formatCode>
                <c:ptCount val="5"/>
                <c:pt idx="0">
                  <c:v>0</c:v>
                </c:pt>
                <c:pt idx="1">
                  <c:v>8500</c:v>
                </c:pt>
                <c:pt idx="2">
                  <c:v>1200</c:v>
                </c:pt>
                <c:pt idx="3">
                  <c:v>3500</c:v>
                </c:pt>
                <c:pt idx="4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8-4A31-B7ED-4DE627B38F47}"/>
            </c:ext>
          </c:extLst>
        </c:ser>
        <c:ser>
          <c:idx val="1"/>
          <c:order val="1"/>
          <c:tx>
            <c:strRef>
              <c:f>DRE_Resumo!$C$1</c:f>
              <c:strCache>
                <c:ptCount val="1"/>
                <c:pt idx="0">
                  <c:v>Total Orçado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088-4A31-B7ED-4DE627B38F47}"/>
              </c:ext>
            </c:extLst>
          </c:dPt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DRE_Resumo!$A$2:$A$6</c:f>
              <c:strCache>
                <c:ptCount val="5"/>
                <c:pt idx="0">
                  <c:v>vendas de serviço</c:v>
                </c:pt>
                <c:pt idx="1">
                  <c:v>folha de pagamento</c:v>
                </c:pt>
                <c:pt idx="2">
                  <c:v>Software e TI</c:v>
                </c:pt>
                <c:pt idx="3">
                  <c:v>Campanha de Marketing</c:v>
                </c:pt>
                <c:pt idx="4">
                  <c:v>Consultoria Prestada</c:v>
                </c:pt>
              </c:strCache>
            </c:strRef>
          </c:cat>
          <c:val>
            <c:numRef>
              <c:f>DRE_Resumo!$C$2:$C$6</c:f>
              <c:numCache>
                <c:formatCode>General</c:formatCode>
                <c:ptCount val="5"/>
                <c:pt idx="0">
                  <c:v>0</c:v>
                </c:pt>
                <c:pt idx="1">
                  <c:v>7600</c:v>
                </c:pt>
                <c:pt idx="2">
                  <c:v>1000</c:v>
                </c:pt>
                <c:pt idx="3">
                  <c:v>4000</c:v>
                </c:pt>
                <c:pt idx="4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88-4A31-B7ED-4DE627B38F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55702576"/>
        <c:axId val="2055705936"/>
        <c:axId val="0"/>
      </c:bar3DChart>
      <c:catAx>
        <c:axId val="205570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705936"/>
        <c:crosses val="autoZero"/>
        <c:auto val="1"/>
        <c:lblAlgn val="ctr"/>
        <c:lblOffset val="100"/>
        <c:noMultiLvlLbl val="0"/>
      </c:catAx>
      <c:valAx>
        <c:axId val="20557059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5570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2</xdr:row>
      <xdr:rowOff>114300</xdr:rowOff>
    </xdr:from>
    <xdr:to>
      <xdr:col>14</xdr:col>
      <xdr:colOff>66675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AA3212-8E9B-4A46-9472-ADD9F7CC7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72BD0-FA05-432D-8024-2F697601C725}" name="Tabela1" displayName="Tabela1" ref="A1:H6" totalsRowShown="0" headerRowDxfId="5" dataDxfId="6" headerRowBorderDxfId="10" tableBorderDxfId="11">
  <autoFilter ref="A1:H6" xr:uid="{B6A72BD0-FA05-432D-8024-2F697601C725}"/>
  <tableColumns count="8">
    <tableColumn id="1" xr3:uid="{985E3320-44DA-477D-ACB8-E60CBB6A4086}" name="Data" dataDxfId="9"/>
    <tableColumn id="2" xr3:uid="{0E237833-C643-41AC-9772-D7A85AB3BAB7}" name="Categoria" dataDxfId="8"/>
    <tableColumn id="3" xr3:uid="{202126D0-BF79-49F3-BB95-8C4AD76550BF}" name="Tipo" dataDxfId="7"/>
    <tableColumn id="4" xr3:uid="{F680B099-DAF9-496E-900B-4BA827D8080C}" name="Centro de Custo" dataDxfId="4"/>
    <tableColumn id="5" xr3:uid="{017B8774-393D-4506-88DD-B5C9003ED934}" name="Valor Realizado" dataDxfId="3"/>
    <tableColumn id="6" xr3:uid="{7E03E364-FAEE-4785-A2F1-5653916A149A}" name="Valor Orçado" dataDxfId="2"/>
    <tableColumn id="7" xr3:uid="{08D87300-ED9E-478E-888E-EB9F4DCCBD64}" name="Status" dataDxfId="1"/>
    <tableColumn id="8" xr3:uid="{3CB3F414-006C-4CFC-9A86-604A7C2AA105}" name="Desvio" dataDxfId="0">
      <calculatedColumnFormula xml:space="preserve"> Tabela1[ [#This Row],[Valor Realizado] ] - Tabela1[ [#This Row],[Valor Orçado] 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58DBCD-664F-4DF5-960E-50148385B090}" name="Tabela2" displayName="Tabela2" ref="A1:C6" totalsRowShown="0">
  <autoFilter ref="A1:C6" xr:uid="{2758DBCD-664F-4DF5-960E-50148385B090}"/>
  <tableColumns count="3">
    <tableColumn id="1" xr3:uid="{3A3503B7-3F7E-43C3-8D30-15C3F79E7770}" name="categoria"/>
    <tableColumn id="2" xr3:uid="{C4C5B178-87AB-4B3D-96D4-1A8878A6E654}" name="total realizado">
      <calculatedColumnFormula>SUMIF(Tabela1[Categoria], A2, Tabela1[Valor Realizado])</calculatedColumnFormula>
    </tableColumn>
    <tableColumn id="3" xr3:uid="{85002310-4694-424F-BD41-4718D166378F}" name="Total Orçado">
      <calculatedColumnFormula>SUMIF(Tabela1[Categoria], A2, Tabela1[Valor Orçado])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6039-1ECF-4E23-8D01-B5050B00FD68}">
  <dimension ref="A1:H6"/>
  <sheetViews>
    <sheetView workbookViewId="0">
      <selection activeCell="I10" sqref="I10"/>
    </sheetView>
  </sheetViews>
  <sheetFormatPr defaultColWidth="14.85546875" defaultRowHeight="15" x14ac:dyDescent="0.25"/>
  <cols>
    <col min="4" max="4" width="21.140625" customWidth="1"/>
    <col min="5" max="5" width="20.140625" customWidth="1"/>
    <col min="6" max="6" width="17.5703125" customWidth="1"/>
  </cols>
  <sheetData>
    <row r="1" spans="1:8" ht="15.75" thickBot="1" x14ac:dyDescent="0.3">
      <c r="A1" s="5" t="s">
        <v>0</v>
      </c>
      <c r="B1" s="6" t="s">
        <v>6</v>
      </c>
      <c r="C1" s="6" t="s">
        <v>2</v>
      </c>
      <c r="D1" s="6" t="s">
        <v>3</v>
      </c>
      <c r="E1" s="8" t="s">
        <v>7</v>
      </c>
      <c r="F1" s="8" t="s">
        <v>4</v>
      </c>
      <c r="G1" s="7" t="s">
        <v>5</v>
      </c>
      <c r="H1" s="6" t="s">
        <v>21</v>
      </c>
    </row>
    <row r="2" spans="1:8" ht="29.25" thickBot="1" x14ac:dyDescent="0.3">
      <c r="A2" s="2">
        <v>46027</v>
      </c>
      <c r="B2" s="1" t="s">
        <v>8</v>
      </c>
      <c r="C2" s="1" t="s">
        <v>9</v>
      </c>
      <c r="D2" s="1" t="s">
        <v>10</v>
      </c>
      <c r="E2" s="9">
        <v>15000</v>
      </c>
      <c r="F2" s="9">
        <v>12000</v>
      </c>
      <c r="G2" s="3" t="s">
        <v>11</v>
      </c>
      <c r="H2" s="11">
        <f xml:space="preserve"> Tabela1[ [#This Row],[Valor Realizado] ] - Tabela1[ [#This Row],[Valor Orçado] ]</f>
        <v>3000</v>
      </c>
    </row>
    <row r="3" spans="1:8" ht="29.25" thickBot="1" x14ac:dyDescent="0.3">
      <c r="A3" s="2">
        <v>46032</v>
      </c>
      <c r="B3" s="1" t="s">
        <v>12</v>
      </c>
      <c r="C3" s="1" t="s">
        <v>13</v>
      </c>
      <c r="D3" s="1" t="s">
        <v>14</v>
      </c>
      <c r="E3" s="9">
        <v>8500</v>
      </c>
      <c r="F3" s="9">
        <v>7600</v>
      </c>
      <c r="G3" s="3" t="s">
        <v>15</v>
      </c>
      <c r="H3" s="11">
        <f xml:space="preserve"> Tabela1[ [#This Row],[Valor Realizado] ] - Tabela1[ [#This Row],[Valor Orçado] ]</f>
        <v>900</v>
      </c>
    </row>
    <row r="4" spans="1:8" ht="15.75" thickBot="1" x14ac:dyDescent="0.3">
      <c r="A4" s="2">
        <v>46037</v>
      </c>
      <c r="B4" s="1" t="s">
        <v>16</v>
      </c>
      <c r="C4" s="1" t="s">
        <v>13</v>
      </c>
      <c r="D4" s="1" t="s">
        <v>17</v>
      </c>
      <c r="E4" s="9">
        <v>1200</v>
      </c>
      <c r="F4" s="9">
        <v>1000</v>
      </c>
      <c r="G4" s="3" t="s">
        <v>15</v>
      </c>
      <c r="H4" s="11">
        <f xml:space="preserve"> Tabela1[ [#This Row],[Valor Realizado] ] - Tabela1[ [#This Row],[Valor Orçado] ]</f>
        <v>200</v>
      </c>
    </row>
    <row r="5" spans="1:8" ht="29.25" thickBot="1" x14ac:dyDescent="0.3">
      <c r="A5" s="2">
        <v>46042</v>
      </c>
      <c r="B5" s="1" t="s">
        <v>18</v>
      </c>
      <c r="C5" s="1" t="s">
        <v>13</v>
      </c>
      <c r="D5" s="1" t="s">
        <v>19</v>
      </c>
      <c r="E5" s="9">
        <v>3500</v>
      </c>
      <c r="F5" s="9">
        <v>4000</v>
      </c>
      <c r="G5" s="3" t="s">
        <v>15</v>
      </c>
      <c r="H5" s="11">
        <f xml:space="preserve"> Tabela1[ [#This Row],[Valor Realizado] ] - Tabela1[ [#This Row],[Valor Orçado] ]</f>
        <v>-500</v>
      </c>
    </row>
    <row r="6" spans="1:8" ht="29.25" thickBot="1" x14ac:dyDescent="0.3">
      <c r="A6" s="2">
        <v>46050</v>
      </c>
      <c r="B6" s="1" t="s">
        <v>20</v>
      </c>
      <c r="C6" s="1" t="s">
        <v>9</v>
      </c>
      <c r="D6" s="1" t="s">
        <v>10</v>
      </c>
      <c r="E6" s="9">
        <v>8000</v>
      </c>
      <c r="F6" s="10">
        <v>8000</v>
      </c>
      <c r="G6" s="4" t="s">
        <v>11</v>
      </c>
      <c r="H6" s="11">
        <f xml:space="preserve"> Tabela1[ [#This Row],[Valor Realizado] ] - Tabela1[ [#This Row],[Valor Orçado] ]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F1DB-A281-4BF0-B4F5-04C2CC71C8CE}">
  <dimension ref="A1:C6"/>
  <sheetViews>
    <sheetView workbookViewId="0">
      <selection activeCell="C14" sqref="C14"/>
    </sheetView>
  </sheetViews>
  <sheetFormatPr defaultRowHeight="15" x14ac:dyDescent="0.25"/>
  <cols>
    <col min="1" max="1" width="22.85546875" bestFit="1" customWidth="1"/>
    <col min="2" max="2" width="71.5703125" bestFit="1" customWidth="1"/>
    <col min="3" max="3" width="69.28515625" bestFit="1" customWidth="1"/>
  </cols>
  <sheetData>
    <row r="1" spans="1:3" x14ac:dyDescent="0.25">
      <c r="A1" t="s">
        <v>1</v>
      </c>
      <c r="B1" t="s">
        <v>22</v>
      </c>
      <c r="C1" t="s">
        <v>23</v>
      </c>
    </row>
    <row r="2" spans="1:3" x14ac:dyDescent="0.25">
      <c r="A2" t="s">
        <v>24</v>
      </c>
      <c r="B2">
        <f>SUMIF(Tabela1[Categoria], A2, Tabela1[Valor Realizado])</f>
        <v>0</v>
      </c>
      <c r="C2" s="12">
        <f>SUMIF(Tabela1[Categoria], A2, Tabela1[Valor Orçado])</f>
        <v>0</v>
      </c>
    </row>
    <row r="3" spans="1:3" x14ac:dyDescent="0.25">
      <c r="A3" t="s">
        <v>25</v>
      </c>
      <c r="B3">
        <f>SUMIF(Tabela1[Categoria], A3, Tabela1[Valor Realizado])</f>
        <v>8500</v>
      </c>
      <c r="C3" s="12">
        <f>SUMIF(Tabela1[Categoria], A3, Tabela1[Valor Orçado])</f>
        <v>7600</v>
      </c>
    </row>
    <row r="4" spans="1:3" x14ac:dyDescent="0.25">
      <c r="A4" t="s">
        <v>16</v>
      </c>
      <c r="B4">
        <f>SUMIF(Tabela1[Categoria], A4, Tabela1[Valor Realizado])</f>
        <v>1200</v>
      </c>
      <c r="C4" s="12">
        <f>SUMIF(Tabela1[Categoria], A4, Tabela1[Valor Orçado])</f>
        <v>1000</v>
      </c>
    </row>
    <row r="5" spans="1:3" x14ac:dyDescent="0.25">
      <c r="A5" t="s">
        <v>18</v>
      </c>
      <c r="B5">
        <f>SUMIF(Tabela1[Categoria], A5, Tabela1[Valor Realizado])</f>
        <v>3500</v>
      </c>
      <c r="C5" s="12">
        <f>SUMIF(Tabela1[Categoria], A5, Tabela1[Valor Orçado])</f>
        <v>4000</v>
      </c>
    </row>
    <row r="6" spans="1:3" x14ac:dyDescent="0.25">
      <c r="A6" t="s">
        <v>20</v>
      </c>
      <c r="B6">
        <f>SUMIF(Tabela1[Categoria], A6, Tabela1[Valor Realizado])</f>
        <v>8000</v>
      </c>
      <c r="C6" s="12">
        <f>SUMIF(Tabela1[Categoria], A6, Tabela1[Valor Orçado])</f>
        <v>8000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4220-1D27-439E-9DBD-EA72965657B8}">
  <dimension ref="A1"/>
  <sheetViews>
    <sheetView showGridLines="0" tabSelected="1" workbookViewId="0">
      <selection activeCell="D11" sqref="D1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BD_Lancamentos</vt:lpstr>
      <vt:lpstr>DRE_Resumo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Araújo</dc:creator>
  <cp:lastModifiedBy>kaleb Araújo</cp:lastModifiedBy>
  <dcterms:created xsi:type="dcterms:W3CDTF">2026-10-27T22:14:57Z</dcterms:created>
  <dcterms:modified xsi:type="dcterms:W3CDTF">2026-10-27T23:44:35Z</dcterms:modified>
</cp:coreProperties>
</file>